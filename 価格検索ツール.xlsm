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K070581\Desktop\価格検索ツール\製品検索\"/>
    </mc:Choice>
  </mc:AlternateContent>
  <xr:revisionPtr revIDLastSave="0" documentId="13_ncr:1_{CDCD2BD6-4EEE-4C93-9EF0-31ED7D1FF19B}" xr6:coauthVersionLast="47" xr6:coauthVersionMax="47" xr10:uidLastSave="{00000000-0000-0000-0000-000000000000}"/>
  <bookViews>
    <workbookView xWindow="3156" yWindow="456" windowWidth="18360" windowHeight="12240" xr2:uid="{64A700B7-5330-48C5-A75A-338D68D38A9B}"/>
  </bookViews>
  <sheets>
    <sheet name="入力" sheetId="1" r:id="rId1"/>
    <sheet name="Sheet1" sheetId="2" r:id="rId2"/>
  </sheets>
  <definedNames>
    <definedName name="参照DB">Sheet1!$A$2:$A$7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<sst xmlns="http://schemas.openxmlformats.org/spreadsheetml/2006/main" count="34" uniqueCount="34">
  <si>
    <t>製品名</t>
    <rPh sb="0" eb="3">
      <t>セイヒンメイ</t>
    </rPh>
    <phoneticPr fontId="1"/>
  </si>
  <si>
    <t>参照DB</t>
    <rPh sb="0" eb="2">
      <t>サンショウ</t>
    </rPh>
    <phoneticPr fontId="1"/>
  </si>
  <si>
    <t>標準DB</t>
  </si>
  <si>
    <t>見積DB</t>
  </si>
  <si>
    <t>価格</t>
    <phoneticPr fontId="1"/>
  </si>
  <si>
    <t>結果</t>
    <phoneticPr fontId="1"/>
  </si>
  <si>
    <t>品番CD</t>
    <phoneticPr fontId="1"/>
  </si>
  <si>
    <t>正式材料名</t>
    <phoneticPr fontId="1"/>
  </si>
  <si>
    <t>郡山シーリングDB</t>
    <rPh sb="0" eb="2">
      <t>コウリヤマ</t>
    </rPh>
    <phoneticPr fontId="1"/>
  </si>
  <si>
    <t>エイブルDB</t>
    <phoneticPr fontId="1"/>
  </si>
  <si>
    <t>ジャパンマテリアルDB</t>
  </si>
  <si>
    <t>荷姿 / 単位</t>
    <phoneticPr fontId="1"/>
  </si>
  <si>
    <t>㎡数に記載予定箇所</t>
    <rPh sb="0" eb="2">
      <t>ヘイベイスウ</t>
    </rPh>
    <rPh sb="3" eb="5">
      <t>キサイ</t>
    </rPh>
    <rPh sb="5" eb="9">
      <t>ヨテイカショ</t>
    </rPh>
    <phoneticPr fontId="1"/>
  </si>
  <si>
    <t>エバーゾール 100P</t>
  </si>
  <si>
    <t>ラピネスシート GR400</t>
  </si>
  <si>
    <t>フジカラートップ遮熱 シルバーグレー</t>
  </si>
  <si>
    <t>エイブルDB</t>
  </si>
  <si>
    <t>16kg／缶</t>
  </si>
  <si>
    <t>OK / 品番CD:158 / 参照DB:エイブルDB</t>
  </si>
  <si>
    <t>エバーゾール100P</t>
  </si>
  <si>
    <t>1×8ｍ／本</t>
  </si>
  <si>
    <t>OK / 品番CD:48 / 参照DB:エイブルDB</t>
  </si>
  <si>
    <t>ラピネスシートＧＲ４００</t>
  </si>
  <si>
    <t>15kg／缶</t>
  </si>
  <si>
    <t>OK / 品番CD:2141 / 参照DB:エイブルDB</t>
  </si>
  <si>
    <t>フジカラートップ遮熱　シルバーグレー</t>
  </si>
  <si>
    <t>ハイネスシール (カートリッジ)</t>
  </si>
  <si>
    <t>ラピネステープ W200</t>
  </si>
  <si>
    <t>320ｃｃ×20本／箱</t>
  </si>
  <si>
    <t>OK / 品番CD:243 / 参照DB:エイブルDB</t>
  </si>
  <si>
    <t>ハイネスシール（ｶｰﾄﾘｯｼﾞ）</t>
  </si>
  <si>
    <t>8ｍ×5巻／箱</t>
  </si>
  <si>
    <t>OK / 品番CD:53 / 参照DB:エイブルDB</t>
  </si>
  <si>
    <t>ラピネステープｗ=200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</si>
</sst>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MS ゴシック"/>
      <family val="2"/>
      <charset val="128"/>
    </font>
    <font>
      <sz val="6"/>
      <name val="MS ゴシック"/>
      <family val="2"/>
      <charset val="128"/>
    </font>
    <font>
      <b/>
      <sz val="11"/>
      <color theme="0"/>
      <name val="MS ゴシック"/>
      <family val="2"/>
      <charset val="128"/>
    </font>
    <font>
      <sz val="11"/>
      <color rgb="FF000000"/>
      <name val="游ゴシック"/>
      <family val="3"/>
      <charset val="128"/>
    </font>
    <font>
      <sz val="1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1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Font="1" applyBorder="1">
      <alignment vertical="center"/>
    </xf>
    <xf numFmtId="0" fontId="2" fillId="2" borderId="4" xfId="0" applyFont="1" applyFill="1" applyBorder="1">
      <alignment vertical="center"/>
    </xf>
    <xf numFmtId="0" fontId="0" fillId="3" borderId="4" xfId="0" applyFont="1" applyFill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2">
    <cellStyle name="標準" xfId="0" builtinId="0"/>
    <cellStyle name="標準 4" xfId="1" xr:uid="{1D40779D-7846-4FFD-8030-680F25D95DD7}"/>
  </cellStyles>
  <dxfs count="9"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</xdr:row>
          <xdr:rowOff>38100</xdr:rowOff>
        </xdr:from>
        <xdr:to>
          <xdr:col>2</xdr:col>
          <xdr:colOff>1181100</xdr:colOff>
          <xdr:row>1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106680</xdr:colOff>
          <xdr:row>1</xdr:row>
          <xdr:rowOff>22860</xdr:rowOff>
        </xdr:from>
        <xdr:to>
          <xdr:col>3</xdr:col>
          <xdr:colOff>1135380</xdr:colOff>
          <xdr:row>1</xdr:row>
          <xdr:rowOff>464820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DC3907-11DD-4F5A-8DF2-137A558B4753}" name="テーブル1" displayName="テーブル1" ref="B3:G14" totalsRowShown="0" headerRowDxfId="8" dataDxfId="7" tableBorderDxfId="6">
  <autoFilter ref="B3:G14" xr:uid="{3EDC3907-11DD-4F5A-8DF2-137A558B4753}"/>
  <tableColumns count="6">
    <tableColumn id="1" xr3:uid="{95C04475-8476-44E8-ABF8-A46A0BCD71AE}" name="製品名" dataDxfId="5"/>
    <tableColumn id="2" xr3:uid="{B24FDFDD-CC78-43D4-92A0-762A0FFA6E72}" name="価格" dataDxfId="4"/>
    <tableColumn id="6" xr3:uid="{E269D28E-FEB3-43BB-81A2-B70E27AF228F}" name="荷姿 / 単位" dataDxfId="3"/>
    <tableColumn id="3" xr3:uid="{1D9EC11A-2818-4E54-B77C-E0867DE6CBCD}" name="結果" dataDxfId="2"/>
    <tableColumn id="4" xr3:uid="{E6990428-AD7B-4A59-9F32-1241EA8997CC}" name="品番CD" dataDxfId="1"/>
    <tableColumn id="5" xr3:uid="{C7617572-C8E4-49CD-82D9-7CAB2143A9A6}" name="正式材料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DB127-01BA-40A7-97E4-CFD8A59B80C7}">
  <sheetPr codeName="Sheet1"/>
  <dimension ref="B1:G14"/>
  <sheetViews>
    <sheetView tabSelected="1" workbookViewId="0">
      <selection activeCell="C4" sqref="C4:C8"/>
    </sheetView>
  </sheetViews>
  <sheetFormatPr defaultRowHeight="13.2"/>
  <cols>
    <col min="2" max="2" width="39" customWidth="1"/>
    <col min="3" max="4" width="18.77734375" customWidth="1"/>
    <col min="5" max="5" width="64.33203125" bestFit="1" customWidth="1"/>
    <col min="6" max="6" width="17.6640625" customWidth="1"/>
    <col min="7" max="7" width="76.5546875" customWidth="1"/>
  </cols>
  <sheetData>
    <row r="1" spans="2:7" ht="13.8" thickBot="1">
      <c r="C1" s="12"/>
      <c r="D1" s="12"/>
    </row>
    <row r="2" spans="2:7" ht="42.6" customHeight="1" thickBot="1">
      <c r="B2" s="14" t="s">
        <v>16</v>
      </c>
      <c r="C2" s="15"/>
      <c r="D2" s="13"/>
      <c r="E2" s="18" t="s">
        <v>12</v>
      </c>
      <c r="F2" s="12"/>
      <c r="G2" s="12"/>
    </row>
    <row r="3" spans="2:7" ht="45.6" customHeight="1">
      <c r="B3" s="7" t="s">
        <v>0</v>
      </c>
      <c r="C3" s="1" t="s">
        <v>4</v>
      </c>
      <c r="D3" s="1" t="s">
        <v>11</v>
      </c>
      <c r="E3" s="1" t="s">
        <v>5</v>
      </c>
      <c r="F3" s="12" t="s">
        <v>6</v>
      </c>
      <c r="G3" s="12" t="s">
        <v>7</v>
      </c>
    </row>
    <row r="4" spans="2:7" ht="45" customHeight="1">
      <c r="B4" s="8" t="s">
        <v>13</v>
      </c>
      <c r="C4" s="2">
        <v>6850</v>
      </c>
      <c r="D4" s="2" t="s">
        <v>17</v>
      </c>
      <c r="E4" s="2" t="s">
        <v>18</v>
      </c>
      <c r="F4" s="2">
        <v>158</v>
      </c>
      <c r="G4" s="16" t="s">
        <v>19</v>
      </c>
    </row>
    <row r="5" spans="2:7" ht="43.2" customHeight="1">
      <c r="B5" s="8" t="s">
        <v>14</v>
      </c>
      <c r="C5" s="2">
        <v>11400</v>
      </c>
      <c r="D5" s="2" t="s">
        <v>20</v>
      </c>
      <c r="E5" s="2" t="s">
        <v>21</v>
      </c>
      <c r="F5" s="11">
        <v>48</v>
      </c>
      <c r="G5" s="16" t="s">
        <v>22</v>
      </c>
    </row>
    <row r="6" spans="2:7" ht="50.4" customHeight="1">
      <c r="B6" s="8" t="s">
        <v>15</v>
      </c>
      <c r="C6" s="2">
        <v>17000</v>
      </c>
      <c r="D6" s="2" t="s">
        <v>23</v>
      </c>
      <c r="E6" s="2" t="s">
        <v>24</v>
      </c>
      <c r="F6" s="2">
        <v>2141</v>
      </c>
      <c r="G6" s="16" t="s">
        <v>25</v>
      </c>
    </row>
    <row r="7" spans="2:7">
      <c r="B7" s="8" t="s">
        <v>26</v>
      </c>
      <c r="C7" s="2">
        <v>13400</v>
      </c>
      <c r="D7" s="2" t="s">
        <v>28</v>
      </c>
      <c r="E7" s="2" t="s">
        <v>29</v>
      </c>
      <c r="F7" s="2">
        <v>243</v>
      </c>
      <c r="G7" s="16" t="s">
        <v>30</v>
      </c>
    </row>
    <row r="8" spans="2:7">
      <c r="B8" s="8" t="s">
        <v>27</v>
      </c>
      <c r="C8" s="11">
        <v>11300</v>
      </c>
      <c r="D8" s="11" t="s">
        <v>31</v>
      </c>
      <c r="E8" s="2" t="s">
        <v>32</v>
      </c>
      <c r="F8" s="2">
        <v>53</v>
      </c>
      <c r="G8" s="16" t="s">
        <v>33</v>
      </c>
    </row>
    <row r="9" spans="2:7">
      <c r="B9" s="8"/>
      <c r="C9" s="11"/>
      <c r="D9" s="11"/>
      <c r="E9" s="2"/>
      <c r="F9" s="2"/>
      <c r="G9" s="16"/>
    </row>
    <row r="10" spans="2:7">
      <c r="B10" s="8"/>
      <c r="C10" s="2"/>
      <c r="D10" s="2"/>
      <c r="E10" s="2"/>
      <c r="F10" s="2"/>
      <c r="G10" s="16"/>
    </row>
    <row r="11" spans="2:7">
      <c r="B11" s="8"/>
      <c r="C11" s="2"/>
      <c r="D11" s="2"/>
      <c r="E11" s="2"/>
      <c r="F11" s="2"/>
      <c r="G11" s="16"/>
    </row>
    <row r="12" spans="2:7">
      <c r="B12" s="8"/>
      <c r="C12" s="2"/>
      <c r="D12" s="2"/>
      <c r="E12" s="2"/>
      <c r="F12" s="2"/>
      <c r="G12" s="16"/>
    </row>
    <row r="13" spans="2:7">
      <c r="B13" s="8"/>
      <c r="C13" s="2"/>
      <c r="D13" s="2"/>
      <c r="E13" s="2"/>
      <c r="F13" s="2"/>
      <c r="G13" s="16"/>
    </row>
    <row r="14" spans="2:7">
      <c r="B14" s="9"/>
      <c r="C14" s="10"/>
      <c r="D14" s="10"/>
      <c r="E14" s="10"/>
      <c r="F14" s="10"/>
      <c r="G14" s="17"/>
    </row>
  </sheetData>
  <phoneticPr fontId="1"/>
  <dataValidations count="1">
    <dataValidation type="list" allowBlank="1" showInputMessage="1" showErrorMessage="1" sqref="B2:D2" xr:uid="{9A0F5A8F-11E9-41B1-AF8B-26552EDC978F}">
      <formula1>参照DB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PriceLookupViaPython">
                <anchor moveWithCells="1">
                  <from>
                    <xdr:col>2</xdr:col>
                    <xdr:colOff>152400</xdr:colOff>
                    <xdr:row>1</xdr:row>
                    <xdr:rowOff>38100</xdr:rowOff>
                  </from>
                  <to>
                    <xdr:col>2</xdr:col>
                    <xdr:colOff>1181100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指定テーブルの中身を削除">
                <anchor moveWithCells="1">
                  <from>
                    <xdr:col>3</xdr:col>
                    <xdr:colOff>106680</xdr:colOff>
                    <xdr:row>1</xdr:row>
                    <xdr:rowOff>22860</xdr:rowOff>
                  </from>
                  <to>
                    <xdr:col>3</xdr:col>
                    <xdr:colOff>1135380</xdr:colOff>
                    <xdr:row>1</xdr:row>
                    <xdr:rowOff>464820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8E7A-D190-4C6F-BB2A-C5DE8147A249}">
  <sheetPr codeName="Sheet2"/>
  <dimension ref="A1:A7"/>
  <sheetViews>
    <sheetView workbookViewId="0">
      <selection activeCell="A13" sqref="A13"/>
    </sheetView>
  </sheetViews>
  <sheetFormatPr defaultRowHeight="13.2"/>
  <cols>
    <col min="1" max="1" width="47.44140625" customWidth="1"/>
  </cols>
  <sheetData>
    <row r="1" spans="1:1">
      <c r="A1" s="4" t="s">
        <v>1</v>
      </c>
    </row>
    <row r="2" spans="1:1">
      <c r="A2" s="5" t="s">
        <v>2</v>
      </c>
    </row>
    <row r="3" spans="1:1">
      <c r="A3" s="6" t="s">
        <v>3</v>
      </c>
    </row>
    <row r="4" spans="1:1">
      <c r="A4" s="5" t="s">
        <v>9</v>
      </c>
    </row>
    <row r="5" spans="1:1">
      <c r="A5" s="6" t="s">
        <v>8</v>
      </c>
    </row>
    <row r="6" spans="1:1">
      <c r="A6" s="5" t="s">
        <v>10</v>
      </c>
    </row>
    <row r="7" spans="1:1">
      <c r="A7" s="3"/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872632F-05BF-4984-915E-70F76659B0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入力</vt:lpstr>
      <vt:lpstr>Sheet1</vt:lpstr>
      <vt:lpstr>参照DB</vt:lpstr>
    </vt:vector>
  </TitlesOfParts>
  <Company>出光興産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家治　清悟</dc:creator>
  <cp:lastModifiedBy>家治　清悟</cp:lastModifiedBy>
  <dcterms:created xsi:type="dcterms:W3CDTF">2026-05-21T04:33:34Z</dcterms:created>
  <dcterms:modified xsi:type="dcterms:W3CDTF">2026-06-18T21:58:54Z</dcterms:modified>
</cp:coreProperties>
</file>